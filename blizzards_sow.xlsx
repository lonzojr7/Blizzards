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740/251201_A8_XULA/Blizzards/"/>
    </mc:Choice>
  </mc:AlternateContent>
  <xr:revisionPtr revIDLastSave="0" documentId="13_ncr:1_{F4920DB9-C246-A546-AE33-6948EC1E4719}" xr6:coauthVersionLast="47" xr6:coauthVersionMax="47" xr10:uidLastSave="{00000000-0000-0000-0000-000000000000}"/>
  <bookViews>
    <workbookView xWindow="3980" yWindow="1980" windowWidth="28580" windowHeight="20940" tabRatio="500" xr2:uid="{00000000-000D-0000-FFFF-FFFF00000000}"/>
  </bookViews>
  <sheets>
    <sheet name="Blizzards" sheetId="10" r:id="rId1"/>
    <sheet name="-Disclaimer-" sheetId="2" r:id="rId2"/>
  </sheets>
  <definedNames>
    <definedName name="_xlnm.Print_Area" localSheetId="0">Blizzards!$B$1:$I$65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9" i="10" l="1"/>
  <c r="H20" i="10"/>
  <c r="H21" i="10"/>
  <c r="H23" i="10"/>
  <c r="H34" i="10"/>
  <c r="H35" i="10"/>
  <c r="H37" i="10"/>
  <c r="H48" i="10"/>
  <c r="H49" i="10"/>
  <c r="H51" i="10"/>
  <c r="H62" i="10"/>
  <c r="H63" i="10"/>
  <c r="G50" i="10" l="1"/>
  <c r="F50" i="10"/>
  <c r="H50" i="10" s="1"/>
  <c r="G22" i="10"/>
  <c r="F22" i="10"/>
  <c r="F36" i="10"/>
  <c r="G36" i="10"/>
  <c r="G8" i="10"/>
  <c r="F8" i="10"/>
  <c r="H5" i="10"/>
  <c r="H22" i="10" l="1"/>
  <c r="H36" i="10"/>
  <c r="H8" i="10"/>
</calcChain>
</file>

<file path=xl/sharedStrings.xml><?xml version="1.0" encoding="utf-8"?>
<sst xmlns="http://schemas.openxmlformats.org/spreadsheetml/2006/main" count="63" uniqueCount="39">
  <si>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</si>
  <si>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</si>
  <si>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</si>
  <si>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</si>
  <si>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</si>
  <si>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</si>
  <si>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</si>
  <si>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</si>
  <si>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</si>
  <si>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</si>
  <si>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</si>
  <si>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</si>
  <si>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</si>
  <si>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</si>
  <si>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Study Buddies</t>
  </si>
  <si>
    <t>Alina (Designer), Lonzo (Tester), Robin (Lead), Samuel (SWE)</t>
  </si>
  <si>
    <t>Alina</t>
  </si>
  <si>
    <t>Lonzo</t>
  </si>
  <si>
    <t>Robin</t>
  </si>
  <si>
    <t>Samuel</t>
  </si>
  <si>
    <t>Use Cases</t>
  </si>
  <si>
    <t>Nov 26th: 6 commits, +91, -10</t>
  </si>
  <si>
    <t>Nov 26th: 29 commits, +483, -163</t>
  </si>
  <si>
    <t>Nov 26th: 36 commits, +337, -250</t>
  </si>
  <si>
    <t>Nov 26th: 30 commits, +461, -122</t>
  </si>
  <si>
    <t>Evaluate team using Brightspace survey</t>
  </si>
  <si>
    <t xml:space="preserve">Evaluate Dr. Edwards via Class Climate </t>
  </si>
  <si>
    <t>Blizzards Statement of Work</t>
  </si>
  <si>
    <t>SHA 0228979, 837cc5e</t>
  </si>
  <si>
    <t>SHA 45ab501, fe680ac</t>
  </si>
  <si>
    <r>
      <rPr>
        <sz val="11"/>
        <color rgb="FFFF0000"/>
        <rFont val="Century Gothic"/>
        <family val="1"/>
      </rPr>
      <t>#</t>
    </r>
    <r>
      <rPr>
        <sz val="11"/>
        <color theme="1"/>
        <rFont val="Century Gothic"/>
        <family val="1"/>
      </rPr>
      <t xml:space="preserve"> Update README with 6 numbered, prioritized projects</t>
    </r>
  </si>
  <si>
    <r>
      <rPr>
        <sz val="11"/>
        <color rgb="FFFF0000"/>
        <rFont val="Century Gothic"/>
        <family val="1"/>
      </rPr>
      <t>#</t>
    </r>
    <r>
      <rPr>
        <sz val="11"/>
        <color theme="1"/>
        <rFont val="Century Gothic"/>
        <family val="1"/>
      </rPr>
      <t xml:space="preserve"> Add pytest unit tests for Profile, Schedule, Session, Flashcards, etc.</t>
    </r>
  </si>
  <si>
    <t>SHA d926e23, 10b580f</t>
  </si>
  <si>
    <r>
      <rPr>
        <sz val="11"/>
        <color rgb="FFFF0000"/>
        <rFont val="Century Gothic"/>
        <family val="1"/>
      </rPr>
      <t>#</t>
    </r>
    <r>
      <rPr>
        <sz val="11"/>
        <color theme="1"/>
        <rFont val="Century Gothic"/>
        <family val="1"/>
      </rPr>
      <t xml:space="preserve"> create AutoCancelJob, FlashcardGenerator, InviteLogic, Profile, StudySession classes</t>
    </r>
  </si>
  <si>
    <t>SHA 1601da9, 4ef802, 3d45638</t>
  </si>
  <si>
    <r>
      <rPr>
        <sz val="11"/>
        <color rgb="FFFF0000"/>
        <rFont val="Century Gothic"/>
        <family val="1"/>
      </rPr>
      <t>#</t>
    </r>
    <r>
      <rPr>
        <sz val="11"/>
        <color theme="1"/>
        <rFont val="Century Gothic"/>
        <family val="1"/>
      </rPr>
      <t xml:space="preserve"> Create profile display, schedule input, and schedule display designs</t>
    </r>
  </si>
  <si>
    <t>What is this use case's user story number?  If no user story, make sure you add this as a user story in our final sprint.</t>
  </si>
  <si>
    <t>https://www.smartsheet.com/top-project-management-excel-templates?srsltid=AfmBOorM8KTqo0GkEazFKhVFp3ozfOh-BifeI1KKxQxM0WpR5p08gBRL</t>
  </si>
  <si>
    <t>Project Development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</si>
</sst>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79">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Blizzards!$F$7</c:f>
              <c:strCache>
                <c:ptCount val="1"/>
                <c:pt idx="0">
                  <c:v>Start Date</c:v>
                </c:pt>
              </c:strCache>
            </c:strRef>
          </c:tx>
          <c:spPr>
            <a:noFill/>
            <a:ln>
              <a:noFill/>
            </a:ln>
            <a:effectLst/>
          </c:spPr>
          <c:invertIfNegative val="0"/>
          <c:cat>
            <c:strRef>
              <c:f>Blizzards!$C$8:$C$63</c:f>
              <c:strCache>
                <c:ptCount val="56"/>
                <c:pt idx="0">
                  <c:v>Alina</c:v>
                </c:pt>
                <c:pt idx="1">
                  <c:v># Create profile display, schedule input, and schedule display designs</c:v>
                </c:pt>
                <c:pt idx="12">
                  <c:v>Evaluate Dr. Edwards via Class Climate </c:v>
                </c:pt>
                <c:pt idx="13">
                  <c:v>Evaluate team using Brightspace survey</c:v>
                </c:pt>
                <c:pt idx="14">
                  <c:v>Lonzo</c:v>
                </c:pt>
                <c:pt idx="15">
                  <c:v># Add pytest unit tests for Profile, Schedule, Session, Flashcards, etc.</c:v>
                </c:pt>
                <c:pt idx="26">
                  <c:v>Evaluate Dr. Edwards via Class Climate </c:v>
                </c:pt>
                <c:pt idx="27">
                  <c:v>Evaluate team using Brightspace survey</c:v>
                </c:pt>
                <c:pt idx="28">
                  <c:v>Robin</c:v>
                </c:pt>
                <c:pt idx="29">
                  <c:v># Update README with 6 numbered, prioritized projects</c:v>
                </c:pt>
                <c:pt idx="40">
                  <c:v>Evaluate Dr. Edwards via Class Climate </c:v>
                </c:pt>
                <c:pt idx="41">
                  <c:v>Evaluate team using Brightspace survey</c:v>
                </c:pt>
                <c:pt idx="42">
                  <c:v>Samuel</c:v>
                </c:pt>
                <c:pt idx="43">
                  <c:v># create AutoCancelJob, FlashcardGenerator, InviteLogic, Profile, StudySession classes</c:v>
                </c:pt>
                <c:pt idx="54">
                  <c:v>Evaluate Dr. Edwards via Class Climate </c:v>
                </c:pt>
                <c:pt idx="55">
                  <c:v>Evaluate team using Brightspace survey</c:v>
                </c:pt>
              </c:strCache>
            </c:strRef>
          </c:cat>
          <c:val>
            <c:numRef>
              <c:f>Blizzards!$F$8:$F$63</c:f>
              <c:numCache>
                <c:formatCode>m/d;@</c:formatCode>
                <c:ptCount val="56"/>
                <c:pt idx="0">
                  <c:v>45983</c:v>
                </c:pt>
                <c:pt idx="1">
                  <c:v>45983</c:v>
                </c:pt>
                <c:pt idx="12">
                  <c:v>45983</c:v>
                </c:pt>
                <c:pt idx="13">
                  <c:v>45992</c:v>
                </c:pt>
                <c:pt idx="14">
                  <c:v>45978</c:v>
                </c:pt>
                <c:pt idx="15">
                  <c:v>45978</c:v>
                </c:pt>
                <c:pt idx="26">
                  <c:v>45983</c:v>
                </c:pt>
                <c:pt idx="27">
                  <c:v>45992</c:v>
                </c:pt>
                <c:pt idx="28">
                  <c:v>45983</c:v>
                </c:pt>
                <c:pt idx="29">
                  <c:v>45986</c:v>
                </c:pt>
                <c:pt idx="40">
                  <c:v>45983</c:v>
                </c:pt>
                <c:pt idx="41">
                  <c:v>45992</c:v>
                </c:pt>
                <c:pt idx="42">
                  <c:v>45978</c:v>
                </c:pt>
                <c:pt idx="43">
                  <c:v>45978</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Blizzards!$H$7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Blizzards!$C$8:$C$63</c:f>
              <c:strCache>
                <c:ptCount val="56"/>
                <c:pt idx="0">
                  <c:v>Alina</c:v>
                </c:pt>
                <c:pt idx="1">
                  <c:v># Create profile display, schedule input, and schedule display designs</c:v>
                </c:pt>
                <c:pt idx="12">
                  <c:v>Evaluate Dr. Edwards via Class Climate </c:v>
                </c:pt>
                <c:pt idx="13">
                  <c:v>Evaluate team using Brightspace survey</c:v>
                </c:pt>
                <c:pt idx="14">
                  <c:v>Lonzo</c:v>
                </c:pt>
                <c:pt idx="15">
                  <c:v># Add pytest unit tests for Profile, Schedule, Session, Flashcards, etc.</c:v>
                </c:pt>
                <c:pt idx="26">
                  <c:v>Evaluate Dr. Edwards via Class Climate </c:v>
                </c:pt>
                <c:pt idx="27">
                  <c:v>Evaluate team using Brightspace survey</c:v>
                </c:pt>
                <c:pt idx="28">
                  <c:v>Robin</c:v>
                </c:pt>
                <c:pt idx="29">
                  <c:v># Update README with 6 numbered, prioritized projects</c:v>
                </c:pt>
                <c:pt idx="40">
                  <c:v>Evaluate Dr. Edwards via Class Climate </c:v>
                </c:pt>
                <c:pt idx="41">
                  <c:v>Evaluate team using Brightspace survey</c:v>
                </c:pt>
                <c:pt idx="42">
                  <c:v>Samuel</c:v>
                </c:pt>
                <c:pt idx="43">
                  <c:v># create AutoCancelJob, FlashcardGenerator, InviteLogic, Profile, StudySession classes</c:v>
                </c:pt>
                <c:pt idx="54">
                  <c:v>Evaluate Dr. Edwards via Class Climate </c:v>
                </c:pt>
                <c:pt idx="55">
                  <c:v>Evaluate team using Brightspace survey</c:v>
                </c:pt>
              </c:strCache>
            </c:strRef>
          </c:cat>
          <c:val>
            <c:numRef>
              <c:f>Blizzards!$H$8:$H$63</c:f>
              <c:numCache>
                <c:formatCode>0</c:formatCode>
                <c:ptCount val="56"/>
                <c:pt idx="0">
                  <c:v>17</c:v>
                </c:pt>
                <c:pt idx="1">
                  <c:v>17</c:v>
                </c:pt>
                <c:pt idx="12">
                  <c:v>17</c:v>
                </c:pt>
                <c:pt idx="13">
                  <c:v>1</c:v>
                </c:pt>
                <c:pt idx="14">
                  <c:v>22</c:v>
                </c:pt>
                <c:pt idx="15">
                  <c:v>1</c:v>
                </c:pt>
                <c:pt idx="26">
                  <c:v>17</c:v>
                </c:pt>
                <c:pt idx="27">
                  <c:v>1</c:v>
                </c:pt>
                <c:pt idx="28" formatCode="General">
                  <c:v>17</c:v>
                </c:pt>
                <c:pt idx="29">
                  <c:v>1</c:v>
                </c:pt>
                <c:pt idx="40">
                  <c:v>17</c:v>
                </c:pt>
                <c:pt idx="41">
                  <c:v>1</c:v>
                </c:pt>
                <c:pt idx="42" formatCode="General">
                  <c:v>22</c:v>
                </c:pt>
                <c:pt idx="43">
                  <c:v>1</c:v>
                </c:pt>
                <c:pt idx="54">
                  <c:v>17</c:v>
                </c:pt>
                <c:pt idx="5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622300</xdr:colOff>
      <xdr:row>14</xdr:row>
      <xdr:rowOff>63500</xdr:rowOff>
    </xdr:from>
    <xdr:to>
      <xdr:col>21</xdr:col>
      <xdr:colOff>12700</xdr:colOff>
      <xdr:row>19</xdr:row>
      <xdr:rowOff>101600</xdr:rowOff>
    </xdr:to>
    <xdr:pic>
      <xdr:nvPicPr>
        <xdr:cNvPr id="3" name="Picture 2">
          <a:extLst>
            <a:ext uri="{FF2B5EF4-FFF2-40B4-BE49-F238E27FC236}">
              <a16:creationId xmlns:a16="http://schemas.microsoft.com/office/drawing/2014/main" id="{36165626-95D0-D246-A10B-8A932F5B0EE4}"/>
            </a:ext>
          </a:extLst>
        </xdr:cNvPr>
        <xdr:cNvPicPr>
          <a:picLocks noChangeAspect="1"/>
        </xdr:cNvPicPr>
      </xdr:nvPicPr>
      <xdr:blipFill>
        <a:blip xmlns:r="http://schemas.openxmlformats.org/officeDocument/2006/relationships" r:embed="rId2"/>
        <a:stretch>
          <a:fillRect/>
        </a:stretch>
      </xdr:blipFill>
      <xdr:spPr>
        <a:xfrm>
          <a:off x="16167100" y="3886200"/>
          <a:ext cx="7620000" cy="1625600"/>
        </a:xfrm>
        <a:prstGeom prst="rect">
          <a:avLst/>
        </a:prstGeom>
      </xdr:spPr>
    </xdr:pic>
    <xdr:clientData/>
  </xdr:twoCellAnchor>
  <xdr:twoCellAnchor editAs="oneCell">
    <xdr:from>
      <xdr:col>11</xdr:col>
      <xdr:colOff>622300</xdr:colOff>
      <xdr:row>39</xdr:row>
      <xdr:rowOff>76200</xdr:rowOff>
    </xdr:from>
    <xdr:to>
      <xdr:col>21</xdr:col>
      <xdr:colOff>12700</xdr:colOff>
      <xdr:row>44</xdr:row>
      <xdr:rowOff>114300</xdr:rowOff>
    </xdr:to>
    <xdr:pic>
      <xdr:nvPicPr>
        <xdr:cNvPr id="4" name="Picture 3">
          <a:extLst>
            <a:ext uri="{FF2B5EF4-FFF2-40B4-BE49-F238E27FC236}">
              <a16:creationId xmlns:a16="http://schemas.microsoft.com/office/drawing/2014/main" id="{7D161921-8BA7-604C-B375-2496F134509B}"/>
            </a:ext>
          </a:extLst>
        </xdr:cNvPr>
        <xdr:cNvPicPr>
          <a:picLocks noChangeAspect="1"/>
        </xdr:cNvPicPr>
      </xdr:nvPicPr>
      <xdr:blipFill>
        <a:blip xmlns:r="http://schemas.openxmlformats.org/officeDocument/2006/relationships" r:embed="rId3"/>
        <a:stretch>
          <a:fillRect/>
        </a:stretch>
      </xdr:blipFill>
      <xdr:spPr>
        <a:xfrm>
          <a:off x="16167100" y="10883900"/>
          <a:ext cx="7620000" cy="1625600"/>
        </a:xfrm>
        <a:prstGeom prst="rect">
          <a:avLst/>
        </a:prstGeom>
      </xdr:spPr>
    </xdr:pic>
    <xdr:clientData/>
  </xdr:twoCellAnchor>
  <xdr:twoCellAnchor editAs="oneCell">
    <xdr:from>
      <xdr:col>11</xdr:col>
      <xdr:colOff>635000</xdr:colOff>
      <xdr:row>28</xdr:row>
      <xdr:rowOff>88900</xdr:rowOff>
    </xdr:from>
    <xdr:to>
      <xdr:col>21</xdr:col>
      <xdr:colOff>25400</xdr:colOff>
      <xdr:row>33</xdr:row>
      <xdr:rowOff>127000</xdr:rowOff>
    </xdr:to>
    <xdr:pic>
      <xdr:nvPicPr>
        <xdr:cNvPr id="5" name="Picture 4">
          <a:extLst>
            <a:ext uri="{FF2B5EF4-FFF2-40B4-BE49-F238E27FC236}">
              <a16:creationId xmlns:a16="http://schemas.microsoft.com/office/drawing/2014/main" id="{9B76232B-94BB-9743-92E1-3F0E30D7DCEA}"/>
            </a:ext>
          </a:extLst>
        </xdr:cNvPr>
        <xdr:cNvPicPr>
          <a:picLocks noChangeAspect="1"/>
        </xdr:cNvPicPr>
      </xdr:nvPicPr>
      <xdr:blipFill>
        <a:blip xmlns:r="http://schemas.openxmlformats.org/officeDocument/2006/relationships" r:embed="rId4"/>
        <a:stretch>
          <a:fillRect/>
        </a:stretch>
      </xdr:blipFill>
      <xdr:spPr>
        <a:xfrm>
          <a:off x="16179800" y="7404100"/>
          <a:ext cx="7620000" cy="1625600"/>
        </a:xfrm>
        <a:prstGeom prst="rect">
          <a:avLst/>
        </a:prstGeom>
      </xdr:spPr>
    </xdr:pic>
    <xdr:clientData/>
  </xdr:twoCellAnchor>
  <xdr:twoCellAnchor editAs="oneCell">
    <xdr:from>
      <xdr:col>11</xdr:col>
      <xdr:colOff>622300</xdr:colOff>
      <xdr:row>53</xdr:row>
      <xdr:rowOff>63500</xdr:rowOff>
    </xdr:from>
    <xdr:to>
      <xdr:col>21</xdr:col>
      <xdr:colOff>12700</xdr:colOff>
      <xdr:row>58</xdr:row>
      <xdr:rowOff>101600</xdr:rowOff>
    </xdr:to>
    <xdr:pic>
      <xdr:nvPicPr>
        <xdr:cNvPr id="6" name="Picture 5">
          <a:extLst>
            <a:ext uri="{FF2B5EF4-FFF2-40B4-BE49-F238E27FC236}">
              <a16:creationId xmlns:a16="http://schemas.microsoft.com/office/drawing/2014/main" id="{78C6949F-A0CC-FD46-B6A9-5AC1A52FFDC9}"/>
            </a:ext>
          </a:extLst>
        </xdr:cNvPr>
        <xdr:cNvPicPr>
          <a:picLocks noChangeAspect="1"/>
        </xdr:cNvPicPr>
      </xdr:nvPicPr>
      <xdr:blipFill>
        <a:blip xmlns:r="http://schemas.openxmlformats.org/officeDocument/2006/relationships" r:embed="rId5"/>
        <a:stretch>
          <a:fillRect/>
        </a:stretch>
      </xdr:blipFill>
      <xdr:spPr>
        <a:xfrm>
          <a:off x="16167100" y="143637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2" activePane="bottomLeft" state="frozen"/>
      <selection pane="bottomLeft" activeCell="I4" sqref="I4"/>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1.66406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27</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14</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38</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15</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20</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16</v>
      </c>
      <c r="D8" s="25"/>
      <c r="E8" s="25"/>
      <c r="F8" s="64">
        <f>MIN(F9:F21)</f>
        <v>45983</v>
      </c>
      <c r="G8" s="65">
        <f>MAX(G9:G21)</f>
        <v>45999</v>
      </c>
      <c r="H8" s="66">
        <f>IF(F8=0,0,G8-F8)+1</f>
        <v>17</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30" outlineLevel="1" x14ac:dyDescent="0.2">
      <c r="A9" s="8"/>
      <c r="B9" s="2"/>
      <c r="C9" s="14" t="s">
        <v>35</v>
      </c>
      <c r="D9" s="3" t="s">
        <v>3</v>
      </c>
      <c r="E9" s="4" t="s">
        <v>34</v>
      </c>
      <c r="F9" s="40">
        <v>45983</v>
      </c>
      <c r="G9" s="40">
        <v>45999</v>
      </c>
      <c r="H9" s="45">
        <f t="shared" ref="H9:H62" si="0">IF(OR(F9=0, ISBLANK(F9)),0,G9-F9+1)</f>
        <v>17</v>
      </c>
      <c r="I9" s="78" t="s">
        <v>36</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21</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26</v>
      </c>
      <c r="D20" s="3" t="s">
        <v>4</v>
      </c>
      <c r="E20" s="13"/>
      <c r="F20" s="40">
        <v>45983</v>
      </c>
      <c r="G20" s="40">
        <v>45999</v>
      </c>
      <c r="H20" s="45">
        <f t="shared" si="0"/>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25</v>
      </c>
      <c r="D21" s="15" t="s">
        <v>4</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17</v>
      </c>
      <c r="D22" s="57"/>
      <c r="E22" s="58"/>
      <c r="F22" s="59">
        <f>MIN(F23:F35)</f>
        <v>45978</v>
      </c>
      <c r="G22" s="60">
        <f>MAX(G23:G35)</f>
        <v>45999</v>
      </c>
      <c r="H22" s="76">
        <f t="shared" si="0"/>
        <v>22</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x14ac:dyDescent="0.15">
      <c r="A23" s="8"/>
      <c r="B23" s="2"/>
      <c r="C23" s="14" t="s">
        <v>31</v>
      </c>
      <c r="D23" s="3" t="s">
        <v>3</v>
      </c>
      <c r="E23" s="13" t="s">
        <v>29</v>
      </c>
      <c r="F23" s="40">
        <v>45978</v>
      </c>
      <c r="G23" s="40">
        <v>45978</v>
      </c>
      <c r="H23" s="46">
        <f t="shared" si="0"/>
        <v>1</v>
      </c>
      <c r="I23" s="78" t="s">
        <v>36</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22</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26</v>
      </c>
      <c r="D34" s="3" t="s">
        <v>4</v>
      </c>
      <c r="E34" s="13"/>
      <c r="F34" s="40">
        <v>45983</v>
      </c>
      <c r="G34" s="40">
        <v>45999</v>
      </c>
      <c r="H34" s="46">
        <f t="shared" si="0"/>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25</v>
      </c>
      <c r="D35" s="15" t="s">
        <v>4</v>
      </c>
      <c r="E35" s="17"/>
      <c r="F35" s="42">
        <v>45992</v>
      </c>
      <c r="G35" s="43">
        <v>45992</v>
      </c>
      <c r="H35" s="46">
        <f t="shared" si="0"/>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18</v>
      </c>
      <c r="D36" s="49"/>
      <c r="E36" s="50"/>
      <c r="F36" s="51">
        <f>MIN(F37:F49)</f>
        <v>45983</v>
      </c>
      <c r="G36" s="52">
        <f>MAX(G37:G49)</f>
        <v>45999</v>
      </c>
      <c r="H36" s="75">
        <f t="shared" si="0"/>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customHeight="1" outlineLevel="1" x14ac:dyDescent="0.15">
      <c r="A37" s="8"/>
      <c r="B37" s="2"/>
      <c r="C37" s="14" t="s">
        <v>30</v>
      </c>
      <c r="D37" s="3" t="s">
        <v>3</v>
      </c>
      <c r="E37" s="12" t="s">
        <v>28</v>
      </c>
      <c r="F37" s="40">
        <v>45986</v>
      </c>
      <c r="G37" s="41">
        <v>45986</v>
      </c>
      <c r="H37" s="77">
        <f t="shared" si="0"/>
        <v>1</v>
      </c>
      <c r="I37" s="78" t="s">
        <v>36</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23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26</v>
      </c>
      <c r="D48" s="3" t="s">
        <v>4</v>
      </c>
      <c r="E48" s="13"/>
      <c r="F48" s="40">
        <v>45983</v>
      </c>
      <c r="G48" s="40">
        <v>45999</v>
      </c>
      <c r="H48" s="77">
        <f t="shared" si="0"/>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25</v>
      </c>
      <c r="D49" s="15" t="s">
        <v>4</v>
      </c>
      <c r="E49" s="17"/>
      <c r="F49" s="42">
        <v>45992</v>
      </c>
      <c r="G49" s="43">
        <v>45992</v>
      </c>
      <c r="H49" s="77">
        <f t="shared" si="0"/>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19</v>
      </c>
      <c r="D50" s="69"/>
      <c r="E50" s="70"/>
      <c r="F50" s="71">
        <f>MIN(F51:F63)</f>
        <v>45978</v>
      </c>
      <c r="G50" s="72">
        <f>MAX(G51:G63)</f>
        <v>45999</v>
      </c>
      <c r="H50" s="74">
        <f t="shared" si="0"/>
        <v>22</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33" customHeight="1" outlineLevel="1" x14ac:dyDescent="0.15">
      <c r="A51" s="8"/>
      <c r="B51" s="2"/>
      <c r="C51" s="14" t="s">
        <v>33</v>
      </c>
      <c r="D51" s="3" t="s">
        <v>3</v>
      </c>
      <c r="E51" s="13" t="s">
        <v>32</v>
      </c>
      <c r="F51" s="40">
        <v>45978</v>
      </c>
      <c r="G51" s="40">
        <v>45978</v>
      </c>
      <c r="H51" s="33">
        <f t="shared" si="0"/>
        <v>1</v>
      </c>
      <c r="I51" s="78" t="s">
        <v>36</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24</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26</v>
      </c>
      <c r="D62" s="3" t="s">
        <v>4</v>
      </c>
      <c r="E62" s="13"/>
      <c r="F62" s="40">
        <v>45983</v>
      </c>
      <c r="G62" s="40">
        <v>45999</v>
      </c>
      <c r="H62" s="33">
        <f t="shared" si="0"/>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25</v>
      </c>
      <c r="D63" s="15" t="s">
        <v>4</v>
      </c>
      <c r="E63" s="17"/>
      <c r="F63" s="42">
        <v>45992</v>
      </c>
      <c r="G63" s="43">
        <v>45992</v>
      </c>
      <c r="H63" s="33">
        <f t="shared" ref="H63" si="1">IF(OR(F63=0, ISBLANK(F63)),0,G63-F63+1)</f>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37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Blizzards</vt:lpstr>
      <vt:lpstr>-Disclaimer-</vt:lpstr>
      <vt:lpstr>Blizzards!Print_Area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2025-11-28T03:12:51Z</dcterms:modified>
</cp:coreProperties>
</file>